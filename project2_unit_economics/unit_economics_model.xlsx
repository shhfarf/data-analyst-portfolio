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ohort_LTV" sheetId="2" state="visible" r:id="rId4"/>
    <sheet name="Unit_Economics" sheetId="3" state="visible" r:id="rId5"/>
    <sheet name="Scenario_Pn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<sst xmlns="http://schemas.openxmlformats.org/spreadsheetml/2006/main" count="60" uniqueCount="51">
  <si>
    <t xml:space="preserve">Unit Economics Model — EdTech Subscription Product</t>
  </si>
  <si>
    <t xml:space="preserve">Все синие ячейки — входные допущения (легенда: измени их, модель пересчитается автоматически)</t>
  </si>
  <si>
    <t xml:space="preserve">Ключевые допущения</t>
  </si>
  <si>
    <t xml:space="preserve">Средний чек за месяц подписки ($)</t>
  </si>
  <si>
    <t xml:space="preserve">Источник: данные пользователя (гипотетический продукт)</t>
  </si>
  <si>
    <t xml:space="preserve">Валовая маржа (% от выручки)</t>
  </si>
  <si>
    <t xml:space="preserve">Типично для EdTech SaaS: 70-75%</t>
  </si>
  <si>
    <t xml:space="preserve">Средний срок жизни подписчика (месяцев)</t>
  </si>
  <si>
    <t xml:space="preserve">Рассчитано из retention-кривой проекта 1 (см. лист Cohort_LTV)</t>
  </si>
  <si>
    <t xml:space="preserve">Ежемесячный рост базы новых пользователей (%)</t>
  </si>
  <si>
    <t xml:space="preserve">Консервативная оценка</t>
  </si>
  <si>
    <t xml:space="preserve">Фиксированные операционные расходы в месяц ($)</t>
  </si>
  <si>
    <t xml:space="preserve">Команда + инфраструктура</t>
  </si>
  <si>
    <t xml:space="preserve">CAC по каналам привлечения ($) — из проекта 1 (структура каналов)</t>
  </si>
  <si>
    <t xml:space="preserve">Канал</t>
  </si>
  <si>
    <t xml:space="preserve">CAC ($)</t>
  </si>
  <si>
    <t xml:space="preserve">Completion rate (из проекта 1)</t>
  </si>
  <si>
    <t xml:space="preserve">Доля в бюджете</t>
  </si>
  <si>
    <t xml:space="preserve">Corporate</t>
  </si>
  <si>
    <t xml:space="preserve">Partner referral</t>
  </si>
  <si>
    <t xml:space="preserve">Organic</t>
  </si>
  <si>
    <t xml:space="preserve">Paid ads</t>
  </si>
  <si>
    <t xml:space="preserve">Social media</t>
  </si>
  <si>
    <t xml:space="preserve">Blended CAC ($, средневзвешенный по бюджету)</t>
  </si>
  <si>
    <t xml:space="preserve">LTV-модель на основе retention-кривой (проект 1)</t>
  </si>
  <si>
    <t xml:space="preserve">Retention % по неделям взят как среднее по 4 когортам из SQL-анализа (result_cohort_retention.csv)</t>
  </si>
  <si>
    <t xml:space="preserve">Неделя</t>
  </si>
  <si>
    <t xml:space="preserve">Retention %</t>
  </si>
  <si>
    <t xml:space="preserve">Активных на 1000 стартовавших</t>
  </si>
  <si>
    <t xml:space="preserve">Выручка недели ($)</t>
  </si>
  <si>
    <t xml:space="preserve">Суммарная выручка (маржинальная) на 1000 стартовавших за 12 недель</t>
  </si>
  <si>
    <t xml:space="preserve">LTV на одного пользователя ($, маржинальный, за период наблюдения)</t>
  </si>
  <si>
    <t xml:space="preserve">Unit Economics по каналам: LTV / CAC, payback period</t>
  </si>
  <si>
    <t xml:space="preserve">LTV ($)</t>
  </si>
  <si>
    <t xml:space="preserve">LTV/CAC</t>
  </si>
  <si>
    <t xml:space="preserve">Payback (мес.)</t>
  </si>
  <si>
    <t xml:space="preserve">Вердикт</t>
  </si>
  <si>
    <t xml:space="preserve">Правило: LTV/CAC &gt;= 3x считается здоровой unit-экономикой для подписочных продуктов.</t>
  </si>
  <si>
    <t xml:space="preserve">Сценарный P&amp;L на 12 месяцев (Base / Optimistic / Pessimistic)</t>
  </si>
  <si>
    <t xml:space="preserve">Множитель роста базы (к базовому темпу из Assumptions!B8)</t>
  </si>
  <si>
    <t xml:space="preserve">Base</t>
  </si>
  <si>
    <t xml:space="preserve">Optimistic</t>
  </si>
  <si>
    <t xml:space="preserve">Pessimistic</t>
  </si>
  <si>
    <t xml:space="preserve">Growth multiplier</t>
  </si>
  <si>
    <t xml:space="preserve">Стартовая база подписчиков (мес. 1)</t>
  </si>
  <si>
    <t xml:space="preserve">Прогноз базы подписчиков (Base сценарий)</t>
  </si>
  <si>
    <t xml:space="preserve">Месяц</t>
  </si>
  <si>
    <t xml:space="preserve">Выручка (маржинальная, $/мес)</t>
  </si>
  <si>
    <t xml:space="preserve">EBITDA (Base)</t>
  </si>
  <si>
    <t xml:space="preserve">Итого выручка за 12 мес (Base)</t>
  </si>
  <si>
    <t xml:space="preserve">Итого EBITDA за 12 мес (Base)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</si>
</sst>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0.0%"/>
    <numFmt numFmtId="167" formatCode="\$#,##0.00"/>
    <numFmt numFmtId="168" formatCode="0"/>
    <numFmt numFmtId="169" formatCode="0.00\x"/>
    <numFmt numFmtId="170" formatCode="0.0"/>
    <numFmt numFmtId="171" formatCode="#,##0"/>
    <numFmt numFmtId="172" formatCode="\$#,##0;&quot;($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9"/>
      <color rgb="FF88888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0" t="s">
        <v>3</v>
      </c>
      <c r="B5" s="4" t="n">
        <v>25</v>
      </c>
      <c r="C5" s="5" t="s">
        <v>4</v>
      </c>
    </row>
    <row r="6" customFormat="false" ht="15" hidden="false" customHeight="false" outlineLevel="0" collapsed="false">
      <c r="A6" s="0" t="s">
        <v>5</v>
      </c>
      <c r="B6" s="6" t="n">
        <v>0.72</v>
      </c>
      <c r="C6" s="5" t="s">
        <v>6</v>
      </c>
    </row>
    <row r="7" customFormat="false" ht="15" hidden="false" customHeight="false" outlineLevel="0" collapsed="false">
      <c r="A7" s="0" t="s">
        <v>7</v>
      </c>
      <c r="B7" s="7" t="n">
        <v>5.5</v>
      </c>
      <c r="C7" s="5" t="s">
        <v>8</v>
      </c>
    </row>
    <row r="8" customFormat="false" ht="15" hidden="false" customHeight="false" outlineLevel="0" collapsed="false">
      <c r="A8" s="0" t="s">
        <v>9</v>
      </c>
      <c r="B8" s="6" t="n">
        <v>0.04</v>
      </c>
      <c r="C8" s="5" t="s">
        <v>10</v>
      </c>
    </row>
    <row r="9" customFormat="false" ht="15" hidden="false" customHeight="false" outlineLevel="0" collapsed="false">
      <c r="A9" s="0" t="s">
        <v>11</v>
      </c>
      <c r="B9" s="4" t="n">
        <v>18000</v>
      </c>
      <c r="C9" s="5" t="s">
        <v>12</v>
      </c>
    </row>
    <row r="11" customFormat="false" ht="15" hidden="false" customHeight="false" outlineLevel="0" collapsed="false">
      <c r="A11" s="3" t="s">
        <v>13</v>
      </c>
    </row>
    <row r="12" customFormat="false" ht="15" hidden="false" customHeight="false" outlineLevel="0" collapsed="false">
      <c r="A12" s="8" t="s">
        <v>14</v>
      </c>
      <c r="B12" s="8" t="s">
        <v>15</v>
      </c>
      <c r="C12" s="8" t="s">
        <v>16</v>
      </c>
      <c r="D12" s="8" t="s">
        <v>17</v>
      </c>
    </row>
    <row r="13" customFormat="false" ht="15" hidden="false" customHeight="false" outlineLevel="0" collapsed="false">
      <c r="A13" s="0" t="s">
        <v>18</v>
      </c>
      <c r="B13" s="4" t="n">
        <v>42</v>
      </c>
      <c r="C13" s="6" t="n">
        <v>0.589</v>
      </c>
      <c r="D13" s="6" t="n">
        <v>0.2</v>
      </c>
    </row>
    <row r="14" customFormat="false" ht="15" hidden="false" customHeight="false" outlineLevel="0" collapsed="false">
      <c r="A14" s="0" t="s">
        <v>19</v>
      </c>
      <c r="B14" s="4" t="n">
        <v>18</v>
      </c>
      <c r="C14" s="6" t="n">
        <v>0.495</v>
      </c>
      <c r="D14" s="6" t="n">
        <v>0.2</v>
      </c>
    </row>
    <row r="15" customFormat="false" ht="15" hidden="false" customHeight="false" outlineLevel="0" collapsed="false">
      <c r="A15" s="0" t="s">
        <v>20</v>
      </c>
      <c r="B15" s="4" t="n">
        <v>6</v>
      </c>
      <c r="C15" s="6" t="n">
        <v>0.431</v>
      </c>
      <c r="D15" s="6" t="n">
        <v>0.25</v>
      </c>
    </row>
    <row r="16" customFormat="false" ht="15" hidden="false" customHeight="false" outlineLevel="0" collapsed="false">
      <c r="A16" s="0" t="s">
        <v>21</v>
      </c>
      <c r="B16" s="4" t="n">
        <v>35</v>
      </c>
      <c r="C16" s="6" t="n">
        <v>0.252</v>
      </c>
      <c r="D16" s="6" t="n">
        <v>0.25</v>
      </c>
    </row>
    <row r="17" customFormat="false" ht="15" hidden="false" customHeight="false" outlineLevel="0" collapsed="false">
      <c r="A17" s="0" t="s">
        <v>22</v>
      </c>
      <c r="B17" s="4" t="n">
        <v>22</v>
      </c>
      <c r="C17" s="6" t="n">
        <v>0.231</v>
      </c>
      <c r="D17" s="6" t="n">
        <v>0.1</v>
      </c>
    </row>
    <row r="19" customFormat="false" ht="15" hidden="false" customHeight="false" outlineLevel="0" collapsed="false">
      <c r="A19" s="9" t="s">
        <v>23</v>
      </c>
      <c r="B19" s="10" t="n">
        <f aca="false">SUMPRODUCT(B13:B17,D13:D17)</f>
        <v>24.45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8" t="s">
        <v>26</v>
      </c>
      <c r="B4" s="8" t="s">
        <v>27</v>
      </c>
      <c r="C4" s="8" t="s">
        <v>28</v>
      </c>
      <c r="D4" s="8" t="s">
        <v>29</v>
      </c>
    </row>
    <row r="5" customFormat="false" ht="15" hidden="false" customHeight="false" outlineLevel="0" collapsed="false">
      <c r="A5" s="0" t="n">
        <v>0</v>
      </c>
      <c r="B5" s="6" t="n">
        <v>1</v>
      </c>
      <c r="C5" s="11" t="n">
        <f aca="false">B5*1000</f>
        <v>1000</v>
      </c>
      <c r="D5" s="12" t="n">
        <f aca="false">C5*(Assumptions!$B$5/4.33)*Assumptions!$B$6</f>
        <v>4157.04387990762</v>
      </c>
    </row>
    <row r="6" customFormat="false" ht="15" hidden="false" customHeight="false" outlineLevel="0" collapsed="false">
      <c r="A6" s="0" t="n">
        <v>1</v>
      </c>
      <c r="B6" s="6" t="n">
        <v>0.906</v>
      </c>
      <c r="C6" s="11" t="n">
        <f aca="false">B6*1000</f>
        <v>906</v>
      </c>
      <c r="D6" s="12" t="n">
        <f aca="false">C6*(Assumptions!$B$5/4.33)*Assumptions!$B$6</f>
        <v>3766.2817551963</v>
      </c>
    </row>
    <row r="7" customFormat="false" ht="15" hidden="false" customHeight="false" outlineLevel="0" collapsed="false">
      <c r="A7" s="0" t="n">
        <v>2</v>
      </c>
      <c r="B7" s="6" t="n">
        <v>0.822</v>
      </c>
      <c r="C7" s="11" t="n">
        <f aca="false">B7*1000</f>
        <v>822</v>
      </c>
      <c r="D7" s="12" t="n">
        <f aca="false">C7*(Assumptions!$B$5/4.33)*Assumptions!$B$6</f>
        <v>3417.09006928406</v>
      </c>
    </row>
    <row r="8" customFormat="false" ht="15" hidden="false" customHeight="false" outlineLevel="0" collapsed="false">
      <c r="A8" s="0" t="n">
        <v>3</v>
      </c>
      <c r="B8" s="6" t="n">
        <v>0.739</v>
      </c>
      <c r="C8" s="11" t="n">
        <f aca="false">B8*1000</f>
        <v>739</v>
      </c>
      <c r="D8" s="12" t="n">
        <f aca="false">C8*(Assumptions!$B$5/4.33)*Assumptions!$B$6</f>
        <v>3072.05542725173</v>
      </c>
    </row>
    <row r="9" customFormat="false" ht="15" hidden="false" customHeight="false" outlineLevel="0" collapsed="false">
      <c r="A9" s="0" t="n">
        <v>4</v>
      </c>
      <c r="B9" s="6" t="n">
        <v>0.665</v>
      </c>
      <c r="C9" s="11" t="n">
        <f aca="false">B9*1000</f>
        <v>665</v>
      </c>
      <c r="D9" s="12" t="n">
        <f aca="false">C9*(Assumptions!$B$5/4.33)*Assumptions!$B$6</f>
        <v>2764.43418013857</v>
      </c>
    </row>
    <row r="10" customFormat="false" ht="15" hidden="false" customHeight="false" outlineLevel="0" collapsed="false">
      <c r="A10" s="0" t="n">
        <v>5</v>
      </c>
      <c r="B10" s="6" t="n">
        <v>0.606</v>
      </c>
      <c r="C10" s="11" t="n">
        <f aca="false">B10*1000</f>
        <v>606</v>
      </c>
      <c r="D10" s="12" t="n">
        <f aca="false">C10*(Assumptions!$B$5/4.33)*Assumptions!$B$6</f>
        <v>2519.16859122402</v>
      </c>
    </row>
    <row r="11" customFormat="false" ht="15" hidden="false" customHeight="false" outlineLevel="0" collapsed="false">
      <c r="A11" s="0" t="n">
        <v>6</v>
      </c>
      <c r="B11" s="6" t="n">
        <v>0.548</v>
      </c>
      <c r="C11" s="11" t="n">
        <f aca="false">B11*1000</f>
        <v>548</v>
      </c>
      <c r="D11" s="12" t="n">
        <f aca="false">C11*(Assumptions!$B$5/4.33)*Assumptions!$B$6</f>
        <v>2278.06004618938</v>
      </c>
    </row>
    <row r="12" customFormat="false" ht="15" hidden="false" customHeight="false" outlineLevel="0" collapsed="false">
      <c r="A12" s="0" t="n">
        <v>7</v>
      </c>
      <c r="B12" s="6" t="n">
        <v>0.5</v>
      </c>
      <c r="C12" s="11" t="n">
        <f aca="false">B12*1000</f>
        <v>500</v>
      </c>
      <c r="D12" s="12" t="n">
        <f aca="false">C12*(Assumptions!$B$5/4.33)*Assumptions!$B$6</f>
        <v>2078.52193995381</v>
      </c>
    </row>
    <row r="13" customFormat="false" ht="15" hidden="false" customHeight="false" outlineLevel="0" collapsed="false">
      <c r="A13" s="0" t="n">
        <v>8</v>
      </c>
      <c r="B13" s="6" t="n">
        <v>0.46</v>
      </c>
      <c r="C13" s="11" t="n">
        <f aca="false">B13*1000</f>
        <v>460</v>
      </c>
      <c r="D13" s="12" t="n">
        <f aca="false">C13*(Assumptions!$B$5/4.33)*Assumptions!$B$6</f>
        <v>1912.24018475751</v>
      </c>
    </row>
    <row r="14" customFormat="false" ht="15" hidden="false" customHeight="false" outlineLevel="0" collapsed="false">
      <c r="A14" s="0" t="n">
        <v>9</v>
      </c>
      <c r="B14" s="6" t="n">
        <v>0.425</v>
      </c>
      <c r="C14" s="11" t="n">
        <f aca="false">B14*1000</f>
        <v>425</v>
      </c>
      <c r="D14" s="12" t="n">
        <f aca="false">C14*(Assumptions!$B$5/4.33)*Assumptions!$B$6</f>
        <v>1766.74364896074</v>
      </c>
    </row>
    <row r="15" customFormat="false" ht="15" hidden="false" customHeight="false" outlineLevel="0" collapsed="false">
      <c r="A15" s="0" t="n">
        <v>10</v>
      </c>
      <c r="B15" s="6" t="n">
        <v>0.391</v>
      </c>
      <c r="C15" s="11" t="n">
        <f aca="false">B15*1000</f>
        <v>391</v>
      </c>
      <c r="D15" s="12" t="n">
        <f aca="false">C15*(Assumptions!$B$5/4.33)*Assumptions!$B$6</f>
        <v>1625.40415704388</v>
      </c>
    </row>
    <row r="16" customFormat="false" ht="15" hidden="false" customHeight="false" outlineLevel="0" collapsed="false">
      <c r="A16" s="0" t="n">
        <v>11</v>
      </c>
      <c r="B16" s="6" t="n">
        <v>0.36</v>
      </c>
      <c r="C16" s="11" t="n">
        <f aca="false">B16*1000</f>
        <v>360</v>
      </c>
      <c r="D16" s="12" t="n">
        <f aca="false">C16*(Assumptions!$B$5/4.33)*Assumptions!$B$6</f>
        <v>1496.53579676674</v>
      </c>
    </row>
    <row r="17" customFormat="false" ht="15" hidden="false" customHeight="false" outlineLevel="0" collapsed="false">
      <c r="A17" s="0" t="n">
        <v>12</v>
      </c>
      <c r="B17" s="6" t="n">
        <v>0.331</v>
      </c>
      <c r="C17" s="11" t="n">
        <f aca="false">B17*1000</f>
        <v>331</v>
      </c>
      <c r="D17" s="12" t="n">
        <f aca="false">C17*(Assumptions!$B$5/4.33)*Assumptions!$B$6</f>
        <v>1375.98152424942</v>
      </c>
    </row>
    <row r="19" customFormat="false" ht="15" hidden="false" customHeight="false" outlineLevel="0" collapsed="false">
      <c r="A19" s="9" t="s">
        <v>30</v>
      </c>
      <c r="D19" s="13" t="n">
        <f aca="false">SUM(D5:D17)</f>
        <v>32229.5612009238</v>
      </c>
    </row>
    <row r="21" customFormat="false" ht="15" hidden="false" customHeight="false" outlineLevel="0" collapsed="false">
      <c r="A21" s="9" t="s">
        <v>31</v>
      </c>
      <c r="D21" s="10" t="n">
        <f aca="false">D19/1000</f>
        <v>32.2295612009238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1" t="s">
        <v>32</v>
      </c>
    </row>
    <row r="3" customFormat="false" ht="15" hidden="false" customHeight="false" outlineLevel="0" collapsed="false">
      <c r="A3" s="8" t="s">
        <v>14</v>
      </c>
      <c r="B3" s="8" t="s">
        <v>15</v>
      </c>
      <c r="C3" s="8" t="s">
        <v>33</v>
      </c>
      <c r="D3" s="8" t="s">
        <v>34</v>
      </c>
      <c r="E3" s="8" t="s">
        <v>35</v>
      </c>
      <c r="F3" s="8" t="s">
        <v>36</v>
      </c>
    </row>
    <row r="4" customFormat="false" ht="15" hidden="false" customHeight="false" outlineLevel="0" collapsed="false">
      <c r="A4" s="14" t="str">
        <f aca="false">Assumptions!A13</f>
        <v>Corporate</v>
      </c>
      <c r="B4" s="12" t="n">
        <f aca="false">Assumptions!B13</f>
        <v>42</v>
      </c>
      <c r="C4" s="10" t="n">
        <f aca="false">Cohort_LTV!$D$21*(Assumptions!C13/AVERAGE(Assumptions!$C$13:$C$17))</f>
        <v>47.505534402763</v>
      </c>
      <c r="D4" s="15" t="n">
        <f aca="false">C4/B4</f>
        <v>1.13108415244674</v>
      </c>
      <c r="E4" s="16" t="n">
        <f aca="false">B4/(C4/5.5)</f>
        <v>4.86259133602262</v>
      </c>
      <c r="F4" s="17" t="str">
        <f aca="false">IF(D4&gt;=3,"Здоровая экономика",IF(D4&gt;=1,"Приемлемо, требует оптимизации","Убыточный канал"))</f>
        <v>Приемлемо, требует оптимизации</v>
      </c>
    </row>
    <row r="5" customFormat="false" ht="15" hidden="false" customHeight="false" outlineLevel="0" collapsed="false">
      <c r="A5" s="14" t="str">
        <f aca="false">Assumptions!A14</f>
        <v>Partner referral</v>
      </c>
      <c r="B5" s="12" t="n">
        <f aca="false">Assumptions!B14</f>
        <v>18</v>
      </c>
      <c r="C5" s="10" t="n">
        <f aca="false">Cohort_LTV!$D$21*(Assumptions!C14/AVERAGE(Assumptions!$C$13:$C$17))</f>
        <v>39.9240059921353</v>
      </c>
      <c r="D5" s="15" t="n">
        <f aca="false">C5/B5</f>
        <v>2.21800033289641</v>
      </c>
      <c r="E5" s="16" t="n">
        <f aca="false">B5/(C5/5.5)</f>
        <v>2.4797110795821</v>
      </c>
      <c r="F5" s="17" t="str">
        <f aca="false">IF(D5&gt;=3,"Здоровая экономика",IF(D5&gt;=1,"Приемлемо, требует оптимизации","Убыточный канал"))</f>
        <v>Приемлемо, требует оптимизации</v>
      </c>
    </row>
    <row r="6" customFormat="false" ht="15" hidden="false" customHeight="false" outlineLevel="0" collapsed="false">
      <c r="A6" s="14" t="str">
        <f aca="false">Assumptions!A15</f>
        <v>Organic</v>
      </c>
      <c r="B6" s="12" t="n">
        <f aca="false">Assumptions!B15</f>
        <v>6</v>
      </c>
      <c r="C6" s="10" t="n">
        <f aca="false">Cohort_LTV!$D$21*(Assumptions!C15/AVERAGE(Assumptions!$C$13:$C$17))</f>
        <v>34.7621143083037</v>
      </c>
      <c r="D6" s="15" t="n">
        <f aca="false">C6/B6</f>
        <v>5.79368571805061</v>
      </c>
      <c r="E6" s="16" t="n">
        <f aca="false">B6/(C6/5.5)</f>
        <v>0.949309346011708</v>
      </c>
      <c r="F6" s="17" t="str">
        <f aca="false">IF(D6&gt;=3,"Здоровая экономика",IF(D6&gt;=1,"Приемлемо, требует оптимизации","Убыточный канал"))</f>
        <v>Здоровая экономика</v>
      </c>
    </row>
    <row r="7" customFormat="false" ht="15" hidden="false" customHeight="false" outlineLevel="0" collapsed="false">
      <c r="A7" s="14" t="str">
        <f aca="false">Assumptions!A16</f>
        <v>Paid ads</v>
      </c>
      <c r="B7" s="12" t="n">
        <f aca="false">Assumptions!B16</f>
        <v>35</v>
      </c>
      <c r="C7" s="10" t="n">
        <f aca="false">Cohort_LTV!$D$21*(Assumptions!C16/AVERAGE(Assumptions!$C$13:$C$17))</f>
        <v>20.3249485050871</v>
      </c>
      <c r="D7" s="15" t="n">
        <f aca="false">C7/B7</f>
        <v>0.580712814431059</v>
      </c>
      <c r="E7" s="16" t="n">
        <f aca="false">B7/(C7/5.5)</f>
        <v>9.47111870673718</v>
      </c>
      <c r="F7" s="17" t="str">
        <f aca="false">IF(D7&gt;=3,"Здоровая экономика",IF(D7&gt;=1,"Приемлемо, требует оптимизации","Убыточный канал"))</f>
        <v>Убыточный канал</v>
      </c>
    </row>
    <row r="8" customFormat="false" ht="15" hidden="false" customHeight="false" outlineLevel="0" collapsed="false">
      <c r="A8" s="14" t="str">
        <f aca="false">Assumptions!A17</f>
        <v>Social media</v>
      </c>
      <c r="B8" s="12" t="n">
        <f aca="false">Assumptions!B17</f>
        <v>22</v>
      </c>
      <c r="C8" s="10" t="n">
        <f aca="false">Cohort_LTV!$D$21*(Assumptions!C17/AVERAGE(Assumptions!$C$13:$C$17))</f>
        <v>18.6312027963298</v>
      </c>
      <c r="D8" s="15" t="n">
        <f aca="false">C8/B8</f>
        <v>0.846872854378628</v>
      </c>
      <c r="E8" s="16" t="n">
        <f aca="false">B8/(C8/5.5)</f>
        <v>6.49448139890549</v>
      </c>
      <c r="F8" s="17" t="str">
        <f aca="false">IF(D8&gt;=3,"Здоровая экономика",IF(D8&gt;=1,"Приемлемо, требует оптимизации","Убыточный канал"))</f>
        <v>Убыточный канал</v>
      </c>
    </row>
    <row r="11" customFormat="false" ht="15" hidden="false" customHeight="false" outlineLevel="0" collapsed="false">
      <c r="A11" s="5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38</v>
      </c>
    </row>
    <row r="3" customFormat="false" ht="15" hidden="false" customHeight="false" outlineLevel="0" collapsed="false">
      <c r="A3" s="3" t="s">
        <v>39</v>
      </c>
    </row>
    <row r="4" customFormat="false" ht="15" hidden="false" customHeight="false" outlineLevel="0" collapsed="false">
      <c r="B4" s="8" t="s">
        <v>40</v>
      </c>
      <c r="C4" s="8" t="s">
        <v>41</v>
      </c>
      <c r="D4" s="8" t="s">
        <v>42</v>
      </c>
    </row>
    <row r="5" customFormat="false" ht="15" hidden="false" customHeight="false" outlineLevel="0" collapsed="false">
      <c r="A5" s="0" t="s">
        <v>43</v>
      </c>
      <c r="B5" s="18" t="n">
        <v>1</v>
      </c>
      <c r="C5" s="18" t="n">
        <v>1.5</v>
      </c>
      <c r="D5" s="18" t="n">
        <v>0.6</v>
      </c>
    </row>
    <row r="6" customFormat="false" ht="15" hidden="false" customHeight="false" outlineLevel="0" collapsed="false">
      <c r="A6" s="0" t="s">
        <v>44</v>
      </c>
      <c r="B6" s="19" t="n">
        <v>2400</v>
      </c>
    </row>
    <row r="8" customFormat="false" ht="15" hidden="false" customHeight="false" outlineLevel="0" collapsed="false">
      <c r="A8" s="9" t="s">
        <v>45</v>
      </c>
    </row>
    <row r="10" customFormat="false" ht="15" hidden="false" customHeight="false" outlineLevel="0" collapsed="false">
      <c r="A10" s="8" t="s">
        <v>46</v>
      </c>
      <c r="B10" s="8" t="s">
        <v>40</v>
      </c>
      <c r="C10" s="8" t="s">
        <v>41</v>
      </c>
      <c r="D10" s="8" t="s">
        <v>42</v>
      </c>
    </row>
    <row r="11" customFormat="false" ht="15" hidden="false" customHeight="false" outlineLevel="0" collapsed="false">
      <c r="A11" s="0" t="n">
        <v>1</v>
      </c>
      <c r="B11" s="20" t="n">
        <f aca="false">$B$6</f>
        <v>2400</v>
      </c>
      <c r="C11" s="20" t="n">
        <f aca="false">$B$6</f>
        <v>2400</v>
      </c>
      <c r="D11" s="20" t="n">
        <f aca="false">$B$6</f>
        <v>2400</v>
      </c>
    </row>
    <row r="12" customFormat="false" ht="15" hidden="false" customHeight="false" outlineLevel="0" collapsed="false">
      <c r="A12" s="0" t="n">
        <v>2</v>
      </c>
      <c r="B12" s="20" t="n">
        <f aca="false">B11*(1+Assumptions!$B$8*$B$5)</f>
        <v>2496</v>
      </c>
      <c r="C12" s="20" t="n">
        <f aca="false">C11*(1+Assumptions!$B$8*$C$5)</f>
        <v>2544</v>
      </c>
      <c r="D12" s="20" t="n">
        <f aca="false">D11*(1+Assumptions!$B$8*$D$5)</f>
        <v>2457.6</v>
      </c>
    </row>
    <row r="13" customFormat="false" ht="15" hidden="false" customHeight="false" outlineLevel="0" collapsed="false">
      <c r="A13" s="0" t="n">
        <v>3</v>
      </c>
      <c r="B13" s="20" t="n">
        <f aca="false">B12*(1+Assumptions!$B$8*$B$5)</f>
        <v>2595.84</v>
      </c>
      <c r="C13" s="20" t="n">
        <f aca="false">C12*(1+Assumptions!$B$8*$C$5)</f>
        <v>2696.64</v>
      </c>
      <c r="D13" s="20" t="n">
        <f aca="false">D12*(1+Assumptions!$B$8*$D$5)</f>
        <v>2516.5824</v>
      </c>
    </row>
    <row r="14" customFormat="false" ht="15" hidden="false" customHeight="false" outlineLevel="0" collapsed="false">
      <c r="A14" s="0" t="n">
        <v>4</v>
      </c>
      <c r="B14" s="20" t="n">
        <f aca="false">B13*(1+Assumptions!$B$8*$B$5)</f>
        <v>2699.6736</v>
      </c>
      <c r="C14" s="20" t="n">
        <f aca="false">C13*(1+Assumptions!$B$8*$C$5)</f>
        <v>2858.4384</v>
      </c>
      <c r="D14" s="20" t="n">
        <f aca="false">D13*(1+Assumptions!$B$8*$D$5)</f>
        <v>2576.9803776</v>
      </c>
    </row>
    <row r="15" customFormat="false" ht="15" hidden="false" customHeight="false" outlineLevel="0" collapsed="false">
      <c r="A15" s="0" t="n">
        <v>5</v>
      </c>
      <c r="B15" s="20" t="n">
        <f aca="false">B14*(1+Assumptions!$B$8*$B$5)</f>
        <v>2807.660544</v>
      </c>
      <c r="C15" s="20" t="n">
        <f aca="false">C14*(1+Assumptions!$B$8*$C$5)</f>
        <v>3029.944704</v>
      </c>
      <c r="D15" s="20" t="n">
        <f aca="false">D14*(1+Assumptions!$B$8*$D$5)</f>
        <v>2638.8279066624</v>
      </c>
    </row>
    <row r="16" customFormat="false" ht="15" hidden="false" customHeight="false" outlineLevel="0" collapsed="false">
      <c r="A16" s="0" t="n">
        <v>6</v>
      </c>
      <c r="B16" s="20" t="n">
        <f aca="false">B15*(1+Assumptions!$B$8*$B$5)</f>
        <v>2919.96696576</v>
      </c>
      <c r="C16" s="20" t="n">
        <f aca="false">C15*(1+Assumptions!$B$8*$C$5)</f>
        <v>3211.74138624</v>
      </c>
      <c r="D16" s="20" t="n">
        <f aca="false">D15*(1+Assumptions!$B$8*$D$5)</f>
        <v>2702.1597764223</v>
      </c>
    </row>
    <row r="17" customFormat="false" ht="15" hidden="false" customHeight="false" outlineLevel="0" collapsed="false">
      <c r="A17" s="0" t="n">
        <v>7</v>
      </c>
      <c r="B17" s="20" t="n">
        <f aca="false">B16*(1+Assumptions!$B$8*$B$5)</f>
        <v>3036.7656443904</v>
      </c>
      <c r="C17" s="20" t="n">
        <f aca="false">C16*(1+Assumptions!$B$8*$C$5)</f>
        <v>3404.4458694144</v>
      </c>
      <c r="D17" s="20" t="n">
        <f aca="false">D16*(1+Assumptions!$B$8*$D$5)</f>
        <v>2767.01161105643</v>
      </c>
    </row>
    <row r="18" customFormat="false" ht="15" hidden="false" customHeight="false" outlineLevel="0" collapsed="false">
      <c r="A18" s="0" t="n">
        <v>8</v>
      </c>
      <c r="B18" s="20" t="n">
        <f aca="false">B17*(1+Assumptions!$B$8*$B$5)</f>
        <v>3158.23627016602</v>
      </c>
      <c r="C18" s="20" t="n">
        <f aca="false">C17*(1+Assumptions!$B$8*$C$5)</f>
        <v>3608.71262157927</v>
      </c>
      <c r="D18" s="20" t="n">
        <f aca="false">D17*(1+Assumptions!$B$8*$D$5)</f>
        <v>2833.41988972179</v>
      </c>
    </row>
    <row r="19" customFormat="false" ht="15" hidden="false" customHeight="false" outlineLevel="0" collapsed="false">
      <c r="A19" s="0" t="n">
        <v>9</v>
      </c>
      <c r="B19" s="20" t="n">
        <f aca="false">B18*(1+Assumptions!$B$8*$B$5)</f>
        <v>3284.56572097266</v>
      </c>
      <c r="C19" s="20" t="n">
        <f aca="false">C18*(1+Assumptions!$B$8*$C$5)</f>
        <v>3825.23537887402</v>
      </c>
      <c r="D19" s="20" t="n">
        <f aca="false">D18*(1+Assumptions!$B$8*$D$5)</f>
        <v>2901.42196707511</v>
      </c>
    </row>
    <row r="20" customFormat="false" ht="15" hidden="false" customHeight="false" outlineLevel="0" collapsed="false">
      <c r="A20" s="0" t="n">
        <v>10</v>
      </c>
      <c r="B20" s="20" t="n">
        <f aca="false">B19*(1+Assumptions!$B$8*$B$5)</f>
        <v>3415.94834981156</v>
      </c>
      <c r="C20" s="20" t="n">
        <f aca="false">C19*(1+Assumptions!$B$8*$C$5)</f>
        <v>4054.74950160646</v>
      </c>
      <c r="D20" s="20" t="n">
        <f aca="false">D19*(1+Assumptions!$B$8*$D$5)</f>
        <v>2971.05609428491</v>
      </c>
    </row>
    <row r="21" customFormat="false" ht="15" hidden="false" customHeight="false" outlineLevel="0" collapsed="false">
      <c r="A21" s="0" t="n">
        <v>11</v>
      </c>
      <c r="B21" s="20" t="n">
        <f aca="false">B20*(1+Assumptions!$B$8*$B$5)</f>
        <v>3552.58628380403</v>
      </c>
      <c r="C21" s="20" t="n">
        <f aca="false">C20*(1+Assumptions!$B$8*$C$5)</f>
        <v>4298.03447170285</v>
      </c>
      <c r="D21" s="20" t="n">
        <f aca="false">D20*(1+Assumptions!$B$8*$D$5)</f>
        <v>3042.36144054775</v>
      </c>
    </row>
    <row r="22" customFormat="false" ht="15" hidden="false" customHeight="false" outlineLevel="0" collapsed="false">
      <c r="A22" s="0" t="n">
        <v>12</v>
      </c>
      <c r="B22" s="20" t="n">
        <f aca="false">B21*(1+Assumptions!$B$8*$B$5)</f>
        <v>3694.68973515619</v>
      </c>
      <c r="C22" s="20" t="n">
        <f aca="false">C21*(1+Assumptions!$B$8*$C$5)</f>
        <v>4555.91654000502</v>
      </c>
      <c r="D22" s="20" t="n">
        <f aca="false">D21*(1+Assumptions!$B$8*$D$5)</f>
        <v>3115.3781151209</v>
      </c>
    </row>
    <row r="24" customFormat="false" ht="15" hidden="false" customHeight="false" outlineLevel="0" collapsed="false">
      <c r="A24" s="3" t="s">
        <v>47</v>
      </c>
    </row>
    <row r="25" customFormat="false" ht="15" hidden="false" customHeight="false" outlineLevel="0" collapsed="false">
      <c r="A25" s="8" t="s">
        <v>46</v>
      </c>
      <c r="B25" s="8" t="s">
        <v>40</v>
      </c>
      <c r="C25" s="8" t="s">
        <v>41</v>
      </c>
      <c r="D25" s="8" t="s">
        <v>42</v>
      </c>
      <c r="E25" s="8" t="s">
        <v>48</v>
      </c>
    </row>
    <row r="26" customFormat="false" ht="15" hidden="false" customHeight="false" outlineLevel="0" collapsed="false">
      <c r="A26" s="0" t="n">
        <v>1</v>
      </c>
      <c r="B26" s="13" t="n">
        <f aca="false">B11*Assumptions!$B$5*Assumptions!$B$6</f>
        <v>43200</v>
      </c>
      <c r="C26" s="13" t="n">
        <f aca="false">C11*Assumptions!$B$5*Assumptions!$B$6</f>
        <v>43200</v>
      </c>
      <c r="D26" s="13" t="n">
        <f aca="false">D11*Assumptions!$B$5*Assumptions!$B$6</f>
        <v>43200</v>
      </c>
      <c r="E26" s="21" t="n">
        <f aca="false">B26-Assumptions!$B$9</f>
        <v>25200</v>
      </c>
    </row>
    <row r="27" customFormat="false" ht="15" hidden="false" customHeight="false" outlineLevel="0" collapsed="false">
      <c r="A27" s="0" t="n">
        <v>2</v>
      </c>
      <c r="B27" s="13" t="n">
        <f aca="false">B12*Assumptions!$B$5*Assumptions!$B$6</f>
        <v>44928</v>
      </c>
      <c r="C27" s="13" t="n">
        <f aca="false">C12*Assumptions!$B$5*Assumptions!$B$6</f>
        <v>45792</v>
      </c>
      <c r="D27" s="13" t="n">
        <f aca="false">D12*Assumptions!$B$5*Assumptions!$B$6</f>
        <v>44236.8</v>
      </c>
      <c r="E27" s="21" t="n">
        <f aca="false">B27-Assumptions!$B$9</f>
        <v>26928</v>
      </c>
    </row>
    <row r="28" customFormat="false" ht="15" hidden="false" customHeight="false" outlineLevel="0" collapsed="false">
      <c r="A28" s="0" t="n">
        <v>3</v>
      </c>
      <c r="B28" s="13" t="n">
        <f aca="false">B13*Assumptions!$B$5*Assumptions!$B$6</f>
        <v>46725.12</v>
      </c>
      <c r="C28" s="13" t="n">
        <f aca="false">C13*Assumptions!$B$5*Assumptions!$B$6</f>
        <v>48539.52</v>
      </c>
      <c r="D28" s="13" t="n">
        <f aca="false">D13*Assumptions!$B$5*Assumptions!$B$6</f>
        <v>45298.4832</v>
      </c>
      <c r="E28" s="21" t="n">
        <f aca="false">B28-Assumptions!$B$9</f>
        <v>28725.12</v>
      </c>
    </row>
    <row r="29" customFormat="false" ht="15" hidden="false" customHeight="false" outlineLevel="0" collapsed="false">
      <c r="A29" s="0" t="n">
        <v>4</v>
      </c>
      <c r="B29" s="13" t="n">
        <f aca="false">B14*Assumptions!$B$5*Assumptions!$B$6</f>
        <v>48594.1248</v>
      </c>
      <c r="C29" s="13" t="n">
        <f aca="false">C14*Assumptions!$B$5*Assumptions!$B$6</f>
        <v>51451.8912</v>
      </c>
      <c r="D29" s="13" t="n">
        <f aca="false">D14*Assumptions!$B$5*Assumptions!$B$6</f>
        <v>46385.6467968</v>
      </c>
      <c r="E29" s="21" t="n">
        <f aca="false">B29-Assumptions!$B$9</f>
        <v>30594.1248</v>
      </c>
    </row>
    <row r="30" customFormat="false" ht="15" hidden="false" customHeight="false" outlineLevel="0" collapsed="false">
      <c r="A30" s="0" t="n">
        <v>5</v>
      </c>
      <c r="B30" s="13" t="n">
        <f aca="false">B15*Assumptions!$B$5*Assumptions!$B$6</f>
        <v>50537.889792</v>
      </c>
      <c r="C30" s="13" t="n">
        <f aca="false">C15*Assumptions!$B$5*Assumptions!$B$6</f>
        <v>54539.004672</v>
      </c>
      <c r="D30" s="13" t="n">
        <f aca="false">D15*Assumptions!$B$5*Assumptions!$B$6</f>
        <v>47498.9023199232</v>
      </c>
      <c r="E30" s="21" t="n">
        <f aca="false">B30-Assumptions!$B$9</f>
        <v>32537.889792</v>
      </c>
    </row>
    <row r="31" customFormat="false" ht="15" hidden="false" customHeight="false" outlineLevel="0" collapsed="false">
      <c r="A31" s="0" t="n">
        <v>6</v>
      </c>
      <c r="B31" s="13" t="n">
        <f aca="false">B16*Assumptions!$B$5*Assumptions!$B$6</f>
        <v>52559.40538368</v>
      </c>
      <c r="C31" s="13" t="n">
        <f aca="false">C16*Assumptions!$B$5*Assumptions!$B$6</f>
        <v>57811.34495232</v>
      </c>
      <c r="D31" s="13" t="n">
        <f aca="false">D16*Assumptions!$B$5*Assumptions!$B$6</f>
        <v>48638.8759756014</v>
      </c>
      <c r="E31" s="21" t="n">
        <f aca="false">B31-Assumptions!$B$9</f>
        <v>34559.40538368</v>
      </c>
    </row>
    <row r="32" customFormat="false" ht="15" hidden="false" customHeight="false" outlineLevel="0" collapsed="false">
      <c r="A32" s="0" t="n">
        <v>7</v>
      </c>
      <c r="B32" s="13" t="n">
        <f aca="false">B17*Assumptions!$B$5*Assumptions!$B$6</f>
        <v>54661.7815990272</v>
      </c>
      <c r="C32" s="13" t="n">
        <f aca="false">C17*Assumptions!$B$5*Assumptions!$B$6</f>
        <v>61280.0256494592</v>
      </c>
      <c r="D32" s="13" t="n">
        <f aca="false">D17*Assumptions!$B$5*Assumptions!$B$6</f>
        <v>49806.2089990158</v>
      </c>
      <c r="E32" s="21" t="n">
        <f aca="false">B32-Assumptions!$B$9</f>
        <v>36661.7815990272</v>
      </c>
    </row>
    <row r="33" customFormat="false" ht="15" hidden="false" customHeight="false" outlineLevel="0" collapsed="false">
      <c r="A33" s="0" t="n">
        <v>8</v>
      </c>
      <c r="B33" s="13" t="n">
        <f aca="false">B18*Assumptions!$B$5*Assumptions!$B$6</f>
        <v>56848.2528629883</v>
      </c>
      <c r="C33" s="13" t="n">
        <f aca="false">C18*Assumptions!$B$5*Assumptions!$B$6</f>
        <v>64956.8271884268</v>
      </c>
      <c r="D33" s="13" t="n">
        <f aca="false">D18*Assumptions!$B$5*Assumptions!$B$6</f>
        <v>51001.5580149922</v>
      </c>
      <c r="E33" s="21" t="n">
        <f aca="false">B33-Assumptions!$B$9</f>
        <v>38848.2528629883</v>
      </c>
    </row>
    <row r="34" customFormat="false" ht="15" hidden="false" customHeight="false" outlineLevel="0" collapsed="false">
      <c r="A34" s="0" t="n">
        <v>9</v>
      </c>
      <c r="B34" s="13" t="n">
        <f aca="false">B19*Assumptions!$B$5*Assumptions!$B$6</f>
        <v>59122.1829775078</v>
      </c>
      <c r="C34" s="13" t="n">
        <f aca="false">C19*Assumptions!$B$5*Assumptions!$B$6</f>
        <v>68854.2368197324</v>
      </c>
      <c r="D34" s="13" t="n">
        <f aca="false">D19*Assumptions!$B$5*Assumptions!$B$6</f>
        <v>52225.595407352</v>
      </c>
      <c r="E34" s="21" t="n">
        <f aca="false">B34-Assumptions!$B$9</f>
        <v>41122.1829775078</v>
      </c>
    </row>
    <row r="35" customFormat="false" ht="15" hidden="false" customHeight="false" outlineLevel="0" collapsed="false">
      <c r="A35" s="0" t="n">
        <v>10</v>
      </c>
      <c r="B35" s="13" t="n">
        <f aca="false">B20*Assumptions!$B$5*Assumptions!$B$6</f>
        <v>61487.0702966081</v>
      </c>
      <c r="C35" s="13" t="n">
        <f aca="false">C20*Assumptions!$B$5*Assumptions!$B$6</f>
        <v>72985.4910289163</v>
      </c>
      <c r="D35" s="13" t="n">
        <f aca="false">D20*Assumptions!$B$5*Assumptions!$B$6</f>
        <v>53479.0096971284</v>
      </c>
      <c r="E35" s="21" t="n">
        <f aca="false">B35-Assumptions!$B$9</f>
        <v>43487.0702966081</v>
      </c>
    </row>
    <row r="36" customFormat="false" ht="15" hidden="false" customHeight="false" outlineLevel="0" collapsed="false">
      <c r="A36" s="0" t="n">
        <v>11</v>
      </c>
      <c r="B36" s="13" t="n">
        <f aca="false">B21*Assumptions!$B$5*Assumptions!$B$6</f>
        <v>63946.5531084725</v>
      </c>
      <c r="C36" s="13" t="n">
        <f aca="false">C21*Assumptions!$B$5*Assumptions!$B$6</f>
        <v>77364.6204906513</v>
      </c>
      <c r="D36" s="13" t="n">
        <f aca="false">D21*Assumptions!$B$5*Assumptions!$B$6</f>
        <v>54762.5059298595</v>
      </c>
      <c r="E36" s="21" t="n">
        <f aca="false">B36-Assumptions!$B$9</f>
        <v>45946.5531084725</v>
      </c>
    </row>
    <row r="37" customFormat="false" ht="15" hidden="false" customHeight="false" outlineLevel="0" collapsed="false">
      <c r="A37" s="0" t="n">
        <v>12</v>
      </c>
      <c r="B37" s="13" t="n">
        <f aca="false">B22*Assumptions!$B$5*Assumptions!$B$6</f>
        <v>66504.4152328114</v>
      </c>
      <c r="C37" s="13" t="n">
        <f aca="false">C22*Assumptions!$B$5*Assumptions!$B$6</f>
        <v>82006.4977200904</v>
      </c>
      <c r="D37" s="13" t="n">
        <f aca="false">D22*Assumptions!$B$5*Assumptions!$B$6</f>
        <v>56076.8060721761</v>
      </c>
      <c r="E37" s="21" t="n">
        <f aca="false">B37-Assumptions!$B$9</f>
        <v>48504.4152328114</v>
      </c>
    </row>
    <row r="39" customFormat="false" ht="15" hidden="false" customHeight="false" outlineLevel="0" collapsed="false">
      <c r="A39" s="9" t="s">
        <v>49</v>
      </c>
      <c r="B39" s="13" t="n">
        <f aca="false">SUM(B26:B37)</f>
        <v>649114.796053095</v>
      </c>
    </row>
    <row r="40" customFormat="false" ht="15" hidden="false" customHeight="false" outlineLevel="0" collapsed="false">
      <c r="A40" s="9" t="s">
        <v>50</v>
      </c>
      <c r="B40" s="21" t="n">
        <f aca="false">SUM(E26:E37)</f>
        <v>433114.796053095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2026-08-17T19:46:28Z</dcterms:created>
  <dc:creator>openpyxl</dc:creator>
  <dc:description/>
  <dc:language>en-US</dc:language>
  <cp:lastModifiedBy/>
  <dcterms:modified xsi:type="dcterms:W3CDTF">2026-08-17T19:46:28Z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